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Trend Analysis" sheetId="1" state="visible" r:id="rId1"/>
    <sheet xmlns:r="http://schemas.openxmlformats.org/officeDocument/2006/relationships" name="Revenue Model" sheetId="2" state="visible" r:id="rId2"/>
    <sheet xmlns:r="http://schemas.openxmlformats.org/officeDocument/2006/relationships" name="Valuation Impact" sheetId="3" state="visible" r:id="rId3"/>
    <sheet xmlns:r="http://schemas.openxmlformats.org/officeDocument/2006/relationships" name="Executive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%"/>
    <numFmt numFmtId="166" formatCode="$#,##0.00"/>
  </numFmts>
  <fonts count="9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  <color rgb="00FFFFFF"/>
      <sz val="12"/>
    </font>
    <font>
      <color rgb="000000FF"/>
    </font>
    <font>
      <b val="1"/>
      <sz val="18"/>
    </font>
    <font>
      <b val="1"/>
      <color rgb="00FFFFFF"/>
      <sz val="18"/>
    </font>
    <font>
      <b val="1"/>
    </font>
    <font/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4" fillId="0" borderId="0" pivotButton="0" quotePrefix="0" xfId="0"/>
    <xf numFmtId="0" fontId="4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3" fontId="4" fillId="0" borderId="0" pivotButton="0" quotePrefix="0" xfId="0"/>
    <xf numFmtId="165" fontId="4" fillId="0" borderId="0" pivotButton="0" quotePrefix="0" xfId="0"/>
    <xf numFmtId="0" fontId="2" fillId="3" borderId="0" pivotButton="0" quotePrefix="0" xfId="0"/>
    <xf numFmtId="166" fontId="4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0" fontId="3" fillId="2" borderId="0" pivotButton="0" quotePrefix="0" xfId="0"/>
    <xf numFmtId="0" fontId="6" fillId="2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30" customWidth="1" min="3" max="3"/>
    <col width="12" customWidth="1" min="4" max="4"/>
    <col width="15" customWidth="1" min="5" max="5"/>
  </cols>
  <sheetData>
    <row r="1">
      <c r="A1" s="1" t="inlineStr">
        <is>
          <t>ImageTrend Inc. - Company Financial Analysis</t>
        </is>
      </c>
    </row>
    <row r="3">
      <c r="A3" s="2" t="inlineStr">
        <is>
          <t>Historical Revenue Data</t>
        </is>
      </c>
    </row>
    <row r="4">
      <c r="A4" s="3" t="inlineStr">
        <is>
          <t>Year</t>
        </is>
      </c>
      <c r="B4" s="3" t="inlineStr">
        <is>
          <t>Revenue</t>
        </is>
      </c>
      <c r="C4" s="3" t="inlineStr">
        <is>
          <t>YoY Growth</t>
        </is>
      </c>
      <c r="D4" s="3" t="inlineStr">
        <is>
          <t>Employees</t>
        </is>
      </c>
      <c r="E4" s="3" t="inlineStr">
        <is>
          <t>Rev/Employee</t>
        </is>
      </c>
    </row>
    <row r="5">
      <c r="A5" t="n">
        <v>2021</v>
      </c>
      <c r="B5" s="4" t="n">
        <v>10300000</v>
      </c>
      <c r="D5" s="5" t="n">
        <v>180</v>
      </c>
      <c r="E5" s="6">
        <f>B5/D5</f>
        <v/>
      </c>
    </row>
    <row r="6">
      <c r="A6" t="n">
        <v>2022</v>
      </c>
      <c r="B6" s="4" t="n">
        <v>13000000</v>
      </c>
      <c r="C6" s="7">
        <f>(B6-B5)/B5</f>
        <v/>
      </c>
      <c r="D6" s="5" t="n">
        <v>220</v>
      </c>
      <c r="E6" s="6">
        <f>B6/D6</f>
        <v/>
      </c>
    </row>
    <row r="7">
      <c r="A7" t="n">
        <v>2023</v>
      </c>
      <c r="B7" s="4" t="n">
        <v>17400000</v>
      </c>
      <c r="C7" s="7">
        <f>(B7-B6)/B6</f>
        <v/>
      </c>
      <c r="D7" s="5" t="n">
        <v>280</v>
      </c>
      <c r="E7" s="6">
        <f>B7/D7</f>
        <v/>
      </c>
    </row>
    <row r="8">
      <c r="A8" t="n">
        <v>2024</v>
      </c>
      <c r="B8" s="4" t="n">
        <v>25200000</v>
      </c>
      <c r="C8" s="7">
        <f>(B8-B7)/B7</f>
        <v/>
      </c>
      <c r="D8" s="5" t="n">
        <v>345</v>
      </c>
      <c r="E8" s="6">
        <f>B8/D8</f>
        <v/>
      </c>
    </row>
    <row r="9">
      <c r="A9" t="n">
        <v>2025</v>
      </c>
      <c r="B9" s="4" t="n">
        <v>32760000</v>
      </c>
      <c r="C9" s="7">
        <f>(B9-B8)/B8</f>
        <v/>
      </c>
      <c r="D9" s="5" t="n">
        <v>394</v>
      </c>
      <c r="E9" s="6">
        <f>B9/D9</f>
        <v/>
      </c>
    </row>
    <row r="12">
      <c r="A12" s="2" t="inlineStr">
        <is>
          <t>Market Position &amp; Customer Base</t>
        </is>
      </c>
    </row>
    <row r="13">
      <c r="A13" t="inlineStr">
        <is>
          <t>Total Customers</t>
        </is>
      </c>
      <c r="B13" s="5" t="n">
        <v>3000</v>
      </c>
      <c r="C13" t="inlineStr">
        <is>
          <t>As of 2024</t>
        </is>
      </c>
    </row>
    <row r="14">
      <c r="A14" t="inlineStr">
        <is>
          <t>Total Agencies Served</t>
        </is>
      </c>
      <c r="B14" s="5" t="n">
        <v>20000</v>
      </c>
      <c r="C14" t="inlineStr">
        <is>
          <t>EMS, Fire, Hospital</t>
        </is>
      </c>
    </row>
    <row r="15">
      <c r="A15" t="inlineStr">
        <is>
          <t>EMS Agencies</t>
        </is>
      </c>
      <c r="B15" s="5" t="n">
        <v>13000</v>
      </c>
      <c r="C15" t="inlineStr">
        <is>
          <t>ePCR Solutions</t>
        </is>
      </c>
    </row>
    <row r="16">
      <c r="A16" t="inlineStr">
        <is>
          <t>States Covered</t>
        </is>
      </c>
      <c r="B16" s="5" t="n">
        <v>43</v>
      </c>
      <c r="C16" t="inlineStr">
        <is>
          <t>NEMSIS Compliance</t>
        </is>
      </c>
    </row>
    <row r="17">
      <c r="A17" t="inlineStr">
        <is>
          <t>NEMSIS Records Submitted</t>
        </is>
      </c>
      <c r="B17" s="8" t="n">
        <v>356000000</v>
      </c>
      <c r="C17" t="inlineStr">
        <is>
          <t>Cumulative</t>
        </is>
      </c>
    </row>
    <row r="18">
      <c r="A18" t="inlineStr">
        <is>
          <t>CSAT Score</t>
        </is>
      </c>
      <c r="B18" s="9" t="n">
        <v>0.974</v>
      </c>
      <c r="C18" t="inlineStr">
        <is>
          <t>2024 - 3,633 responses</t>
        </is>
      </c>
    </row>
    <row r="19">
      <c r="A19" t="inlineStr">
        <is>
          <t>2024 New Hires</t>
        </is>
      </c>
      <c r="B19" s="5" t="n">
        <v>141</v>
      </c>
      <c r="C19" t="inlineStr">
        <is>
          <t>Growth indicator</t>
        </is>
      </c>
    </row>
    <row r="22">
      <c r="A22" s="2" t="inlineStr">
        <is>
          <t>Financial Estimates (Private Company)</t>
        </is>
      </c>
    </row>
    <row r="23">
      <c r="A23" t="inlineStr">
        <is>
          <t>Estimated 2024 Revenue</t>
        </is>
      </c>
      <c r="B23" s="4" t="n">
        <v>25200000</v>
      </c>
      <c r="C23" t="inlineStr">
        <is>
          <t>GetLatka verified</t>
        </is>
      </c>
    </row>
    <row r="24">
      <c r="A24" t="inlineStr">
        <is>
          <t>PE Investment (2023)</t>
        </is>
      </c>
      <c r="B24" s="4" t="n">
        <v>24000000</v>
      </c>
      <c r="C24" t="inlineStr">
        <is>
          <t>Welsh Carson Anderson Stowe</t>
        </is>
      </c>
    </row>
    <row r="25">
      <c r="A25" t="inlineStr">
        <is>
          <t>Revenue Multiple (SaaS)</t>
        </is>
      </c>
      <c r="B25" t="n">
        <v>8</v>
      </c>
      <c r="C25" t="inlineStr">
        <is>
          <t>Industry average 6-10x</t>
        </is>
      </c>
    </row>
    <row r="26">
      <c r="A26" t="inlineStr">
        <is>
          <t>Implied Valuation</t>
        </is>
      </c>
      <c r="B26" s="6">
        <f>B23*B25</f>
        <v/>
      </c>
      <c r="C26" t="inlineStr">
        <is>
          <t>Revenue x Multiple</t>
        </is>
      </c>
    </row>
    <row r="27">
      <c r="A27" t="inlineStr">
        <is>
          <t>Estimated EBITDA Margin</t>
        </is>
      </c>
      <c r="B27" s="9" t="n">
        <v>0.2</v>
      </c>
      <c r="C27" t="inlineStr">
        <is>
          <t>SaaS industry avg 15-25%</t>
        </is>
      </c>
    </row>
    <row r="28">
      <c r="A28" t="inlineStr">
        <is>
          <t>Estimated EBITDA</t>
        </is>
      </c>
      <c r="B28" s="6">
        <f>B23*B27</f>
        <v/>
      </c>
      <c r="C28" t="inlineStr"/>
    </row>
    <row r="29">
      <c r="A29" t="inlineStr">
        <is>
          <t>Net Profit Margin Est.</t>
        </is>
      </c>
      <c r="B29" s="9" t="n">
        <v>0.12</v>
      </c>
      <c r="C29" t="inlineStr">
        <is>
          <t>After tax estimate</t>
        </is>
      </c>
    </row>
    <row r="30">
      <c r="A30" t="inlineStr">
        <is>
          <t>Estimated Net Profit</t>
        </is>
      </c>
      <c r="B30" s="6">
        <f>B23*B29</f>
        <v/>
      </c>
      <c r="C30" t="inlineStr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Protocol Guide - ImageTrend Distribution Revenue Model</t>
        </is>
      </c>
    </row>
    <row r="3">
      <c r="A3" s="10" t="inlineStr">
        <is>
          <t>Key Assumptions</t>
        </is>
      </c>
    </row>
    <row r="4">
      <c r="A4" t="inlineStr">
        <is>
          <t>ImageTrend Revenue Share</t>
        </is>
      </c>
      <c r="B4" s="9" t="n">
        <v>0.2</v>
      </c>
      <c r="C4" t="inlineStr">
        <is>
          <t>They take 20%</t>
        </is>
      </c>
    </row>
    <row r="5">
      <c r="A5" t="inlineStr">
        <is>
          <t>Protocol Guide Revenue Share</t>
        </is>
      </c>
      <c r="B5" s="9" t="n">
        <v>0.8</v>
      </c>
      <c r="C5" t="inlineStr">
        <is>
          <t>You keep 80%</t>
        </is>
      </c>
    </row>
    <row r="6">
      <c r="A6" t="inlineStr">
        <is>
          <t>Protocol Guide Monthly Price</t>
        </is>
      </c>
      <c r="B6" s="11" t="n">
        <v>4.99</v>
      </c>
      <c r="C6" t="inlineStr">
        <is>
          <t>Per user/month</t>
        </is>
      </c>
    </row>
    <row r="7">
      <c r="A7" t="inlineStr">
        <is>
          <t>Protocol Guide Annual Price</t>
        </is>
      </c>
      <c r="B7" s="11" t="n">
        <v>39</v>
      </c>
      <c r="C7" t="inlineStr">
        <is>
          <t>Per user/year</t>
        </is>
      </c>
    </row>
    <row r="8">
      <c r="A8" t="inlineStr">
        <is>
          <t>Annual Discount</t>
        </is>
      </c>
      <c r="B8" s="9">
        <f>1-(B7/(B6*12))</f>
        <v/>
      </c>
      <c r="C8" t="inlineStr">
        <is>
          <t>Annual vs Monthly</t>
        </is>
      </c>
    </row>
    <row r="9">
      <c r="A9" t="inlineStr">
        <is>
          <t>ImageTrend Total EMS Agencies</t>
        </is>
      </c>
      <c r="B9" s="8" t="n">
        <v>13000</v>
      </c>
      <c r="C9" t="inlineStr">
        <is>
          <t>Current customer base</t>
        </is>
      </c>
    </row>
    <row r="10">
      <c r="A10" t="inlineStr">
        <is>
          <t>Avg Users per Agency</t>
        </is>
      </c>
      <c r="B10" s="8" t="n">
        <v>25</v>
      </c>
      <c r="C10" t="inlineStr">
        <is>
          <t>Paramedics/EMTs</t>
        </is>
      </c>
    </row>
    <row r="11">
      <c r="A11" t="inlineStr">
        <is>
          <t>Total Addressable Users</t>
        </is>
      </c>
      <c r="B11" s="8">
        <f>B9*B10</f>
        <v/>
      </c>
      <c r="C11" t="inlineStr">
        <is>
          <t>Within ImageTrend</t>
        </is>
      </c>
    </row>
    <row r="14">
      <c r="A14" s="10" t="inlineStr">
        <is>
          <t>Adoption Scenarios (% of ImageTrend Customer Base)</t>
        </is>
      </c>
    </row>
    <row r="15">
      <c r="A15" s="3" t="inlineStr">
        <is>
          <t>Scenario</t>
        </is>
      </c>
      <c r="B15" s="3" t="inlineStr">
        <is>
          <t>Adoption Rate</t>
        </is>
      </c>
      <c r="C15" s="3" t="inlineStr">
        <is>
          <t>Agencies</t>
        </is>
      </c>
      <c r="D15" s="3" t="inlineStr">
        <is>
          <t>Users</t>
        </is>
      </c>
      <c r="E15" s="3" t="inlineStr">
        <is>
          <t>Monthly Price</t>
        </is>
      </c>
      <c r="F15" s="3" t="inlineStr">
        <is>
          <t>Annual Mix</t>
        </is>
      </c>
      <c r="G15" s="3" t="inlineStr">
        <is>
          <t>Monthly MRR</t>
        </is>
      </c>
      <c r="H15" s="3" t="inlineStr">
        <is>
          <t>ARR</t>
        </is>
      </c>
      <c r="I15" s="3" t="inlineStr">
        <is>
          <t>Your 80%</t>
        </is>
      </c>
    </row>
    <row r="16">
      <c r="A16" t="inlineStr">
        <is>
          <t>Conservative</t>
        </is>
      </c>
      <c r="B16" s="9" t="n">
        <v>0.02</v>
      </c>
      <c r="C16" s="12">
        <f>$B$9*B16</f>
        <v/>
      </c>
      <c r="D16" s="12">
        <f>C16*$B$10</f>
        <v/>
      </c>
      <c r="E16" s="13" t="inlineStr">
        <is>
          <t>$B$6</t>
        </is>
      </c>
      <c r="F16" s="9" t="n">
        <v>0.7</v>
      </c>
      <c r="G16" s="6">
        <f>D16*((1-F16)*$B$6+F16*$B$7/12)</f>
        <v/>
      </c>
      <c r="H16" s="6">
        <f>G16*12</f>
        <v/>
      </c>
      <c r="I16" s="6">
        <f>H16*$B$5</f>
        <v/>
      </c>
    </row>
    <row r="17">
      <c r="A17" t="inlineStr">
        <is>
          <t>Moderate</t>
        </is>
      </c>
      <c r="B17" s="9" t="n">
        <v>0.05</v>
      </c>
      <c r="C17" s="12">
        <f>$B$9*B17</f>
        <v/>
      </c>
      <c r="D17" s="12">
        <f>C17*$B$10</f>
        <v/>
      </c>
      <c r="E17" s="13" t="inlineStr">
        <is>
          <t>$B$6</t>
        </is>
      </c>
      <c r="F17" s="9" t="n">
        <v>0.7</v>
      </c>
      <c r="G17" s="6">
        <f>D17*((1-F17)*$B$6+F17*$B$7/12)</f>
        <v/>
      </c>
      <c r="H17" s="6">
        <f>G17*12</f>
        <v/>
      </c>
      <c r="I17" s="6">
        <f>H17*$B$5</f>
        <v/>
      </c>
    </row>
    <row r="18">
      <c r="A18" t="inlineStr">
        <is>
          <t>Optimistic</t>
        </is>
      </c>
      <c r="B18" s="9" t="n">
        <v>0.1</v>
      </c>
      <c r="C18" s="12">
        <f>$B$9*B18</f>
        <v/>
      </c>
      <c r="D18" s="12">
        <f>C18*$B$10</f>
        <v/>
      </c>
      <c r="E18" s="13" t="inlineStr">
        <is>
          <t>$B$6</t>
        </is>
      </c>
      <c r="F18" s="9" t="n">
        <v>0.7</v>
      </c>
      <c r="G18" s="6">
        <f>D18*((1-F18)*$B$6+F18*$B$7/12)</f>
        <v/>
      </c>
      <c r="H18" s="6">
        <f>G18*12</f>
        <v/>
      </c>
      <c r="I18" s="6">
        <f>H18*$B$5</f>
        <v/>
      </c>
    </row>
    <row r="19">
      <c r="A19" t="inlineStr">
        <is>
          <t>Aggressive</t>
        </is>
      </c>
      <c r="B19" s="9" t="n">
        <v>0.2</v>
      </c>
      <c r="C19" s="12">
        <f>$B$9*B19</f>
        <v/>
      </c>
      <c r="D19" s="12">
        <f>C19*$B$10</f>
        <v/>
      </c>
      <c r="E19" s="13" t="inlineStr">
        <is>
          <t>$B$6</t>
        </is>
      </c>
      <c r="F19" s="9" t="n">
        <v>0.7</v>
      </c>
      <c r="G19" s="6">
        <f>D19*((1-F19)*$B$6+F19*$B$7/12)</f>
        <v/>
      </c>
      <c r="H19" s="6">
        <f>G19*12</f>
        <v/>
      </c>
      <c r="I19" s="6">
        <f>H19*$B$5</f>
        <v/>
      </c>
    </row>
    <row r="22">
      <c r="A22" s="10" t="inlineStr">
        <is>
          <t>5-Year Growth Projection (Moderate Scenario)</t>
        </is>
      </c>
    </row>
    <row r="23">
      <c r="A23" s="14" t="inlineStr">
        <is>
          <t>Metric</t>
        </is>
      </c>
      <c r="B23" s="14" t="inlineStr">
        <is>
          <t>Year 1</t>
        </is>
      </c>
      <c r="C23" s="14" t="inlineStr">
        <is>
          <t>Year 2</t>
        </is>
      </c>
      <c r="D23" s="14" t="inlineStr">
        <is>
          <t>Year 3</t>
        </is>
      </c>
      <c r="E23" s="14" t="inlineStr">
        <is>
          <t>Year 4</t>
        </is>
      </c>
      <c r="F23" s="14" t="inlineStr">
        <is>
          <t>Year 5</t>
        </is>
      </c>
    </row>
    <row r="24">
      <c r="A24" t="inlineStr">
        <is>
          <t>Adoption Rate</t>
        </is>
      </c>
      <c r="B24" s="9" t="n">
        <v>0.02</v>
      </c>
      <c r="C24" s="9" t="n">
        <v>0.05</v>
      </c>
      <c r="D24" s="9" t="n">
        <v>0.1</v>
      </c>
      <c r="E24" s="9" t="n">
        <v>0.15</v>
      </c>
      <c r="F24" s="9" t="n">
        <v>0.2</v>
      </c>
    </row>
    <row r="25">
      <c r="A25" t="inlineStr">
        <is>
          <t>Active Agencies</t>
        </is>
      </c>
      <c r="B25" s="12">
        <f>$B$9*B24</f>
        <v/>
      </c>
      <c r="C25" s="12">
        <f>$B$9*C24</f>
        <v/>
      </c>
      <c r="D25" s="12">
        <f>$B$9*D24</f>
        <v/>
      </c>
      <c r="E25" s="12">
        <f>$B$9*E24</f>
        <v/>
      </c>
      <c r="F25" s="12">
        <f>$B$9*F24</f>
        <v/>
      </c>
    </row>
    <row r="26">
      <c r="A26" t="inlineStr">
        <is>
          <t>Active Users</t>
        </is>
      </c>
      <c r="B26" s="12">
        <f>B25*$B$10</f>
        <v/>
      </c>
      <c r="C26" s="12">
        <f>C25*$B$10</f>
        <v/>
      </c>
      <c r="D26" s="12">
        <f>D25*$B$10</f>
        <v/>
      </c>
      <c r="E26" s="12">
        <f>E25*$B$10</f>
        <v/>
      </c>
      <c r="F26" s="12">
        <f>F25*$B$10</f>
        <v/>
      </c>
    </row>
    <row r="27">
      <c r="A27" t="inlineStr">
        <is>
          <t>Monthly MRR</t>
        </is>
      </c>
      <c r="B27" s="6">
        <f>B26*((1-0.7)*$B$6+0.7*$B$7/12)</f>
        <v/>
      </c>
      <c r="C27" s="6">
        <f>C26*((1-0.7)*$B$6+0.7*$B$7/12)</f>
        <v/>
      </c>
      <c r="D27" s="6">
        <f>D26*((1-0.7)*$B$6+0.7*$B$7/12)</f>
        <v/>
      </c>
      <c r="E27" s="6">
        <f>E26*((1-0.7)*$B$6+0.7*$B$7/12)</f>
        <v/>
      </c>
      <c r="F27" s="6">
        <f>F26*((1-0.7)*$B$6+0.7*$B$7/12)</f>
        <v/>
      </c>
    </row>
    <row r="28">
      <c r="A28" t="inlineStr">
        <is>
          <t>Annual ARR</t>
        </is>
      </c>
      <c r="B28" s="6">
        <f>B27*12</f>
        <v/>
      </c>
      <c r="C28" s="6">
        <f>C27*12</f>
        <v/>
      </c>
      <c r="D28" s="6">
        <f>D27*12</f>
        <v/>
      </c>
      <c r="E28" s="6">
        <f>E27*12</f>
        <v/>
      </c>
      <c r="F28" s="6">
        <f>F27*12</f>
        <v/>
      </c>
    </row>
    <row r="29">
      <c r="A29" t="inlineStr">
        <is>
          <t>Your Revenue (80%)</t>
        </is>
      </c>
      <c r="B29" s="6">
        <f>B28*$B$5</f>
        <v/>
      </c>
      <c r="C29" s="6">
        <f>C28*$B$5</f>
        <v/>
      </c>
      <c r="D29" s="6">
        <f>D28*$B$5</f>
        <v/>
      </c>
      <c r="E29" s="6">
        <f>E28*$B$5</f>
        <v/>
      </c>
      <c r="F29" s="6">
        <f>F28*$B$5</f>
        <v/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2" customWidth="1" min="3" max="3"/>
    <col width="18" customWidth="1" min="4" max="4"/>
    <col width="35" customWidth="1" min="5" max="5"/>
  </cols>
  <sheetData>
    <row r="1">
      <c r="A1" s="1" t="inlineStr">
        <is>
          <t>Protocol Guide - Valuation Impact Analysis</t>
        </is>
      </c>
    </row>
    <row r="3">
      <c r="A3" s="2" t="inlineStr">
        <is>
          <t>SaaS Valuation Multiples</t>
        </is>
      </c>
    </row>
    <row r="4">
      <c r="A4" s="14" t="inlineStr">
        <is>
          <t>Growth Rate</t>
        </is>
      </c>
      <c r="B4" s="14" t="inlineStr">
        <is>
          <t>ARR Multiple</t>
        </is>
      </c>
      <c r="C4" s="14" t="inlineStr">
        <is>
          <t>Notes</t>
        </is>
      </c>
    </row>
    <row r="5">
      <c r="A5" t="inlineStr">
        <is>
          <t>&lt;20%</t>
        </is>
      </c>
      <c r="B5" t="inlineStr">
        <is>
          <t>3-5x</t>
        </is>
      </c>
      <c r="C5" t="inlineStr">
        <is>
          <t>Slow growth SaaS</t>
        </is>
      </c>
    </row>
    <row r="6">
      <c r="A6" t="inlineStr">
        <is>
          <t>20-40%</t>
        </is>
      </c>
      <c r="B6" t="inlineStr">
        <is>
          <t>5-8x</t>
        </is>
      </c>
      <c r="C6" t="inlineStr">
        <is>
          <t>Moderate growth</t>
        </is>
      </c>
    </row>
    <row r="7">
      <c r="A7" t="inlineStr">
        <is>
          <t>40-60%</t>
        </is>
      </c>
      <c r="B7" t="inlineStr">
        <is>
          <t>8-12x</t>
        </is>
      </c>
      <c r="C7" t="inlineStr">
        <is>
          <t>High growth</t>
        </is>
      </c>
    </row>
    <row r="8">
      <c r="A8" t="inlineStr">
        <is>
          <t>&gt;60%</t>
        </is>
      </c>
      <c r="B8" t="inlineStr">
        <is>
          <t>12-20x</t>
        </is>
      </c>
      <c r="C8" t="inlineStr">
        <is>
          <t>Hypergrowth</t>
        </is>
      </c>
    </row>
    <row r="11">
      <c r="A11" s="2" t="inlineStr">
        <is>
          <t>Protocol Guide Valuation Scenarios</t>
        </is>
      </c>
    </row>
    <row r="12">
      <c r="A12" s="14" t="inlineStr">
        <is>
          <t>Scenario</t>
        </is>
      </c>
      <c r="B12" s="14" t="inlineStr">
        <is>
          <t>Your ARR</t>
        </is>
      </c>
      <c r="C12" s="14" t="inlineStr">
        <is>
          <t>Multiple</t>
        </is>
      </c>
      <c r="D12" s="14" t="inlineStr">
        <is>
          <t>Valuation</t>
        </is>
      </c>
      <c r="E12" s="14" t="inlineStr">
        <is>
          <t>Notes</t>
        </is>
      </c>
    </row>
    <row r="13">
      <c r="A13" t="inlineStr">
        <is>
          <t>Conservative (2%)</t>
        </is>
      </c>
      <c r="B13" s="6">
        <f>'Revenue Model'!I16</f>
        <v/>
      </c>
      <c r="C13" s="5" t="n">
        <v>5</v>
      </c>
      <c r="D13" s="6">
        <f>B13*C13</f>
        <v/>
      </c>
      <c r="E13" t="inlineStr">
        <is>
          <t>Low adoption, modest multiple</t>
        </is>
      </c>
    </row>
    <row r="14">
      <c r="A14" t="inlineStr">
        <is>
          <t>Moderate (5%)</t>
        </is>
      </c>
      <c r="B14" s="6">
        <f>'Revenue Model'!I17</f>
        <v/>
      </c>
      <c r="C14" s="5" t="n">
        <v>8</v>
      </c>
      <c r="D14" s="6">
        <f>B14*C14</f>
        <v/>
      </c>
      <c r="E14" t="inlineStr">
        <is>
          <t>Reasonable adoption, growth multiple</t>
        </is>
      </c>
    </row>
    <row r="15">
      <c r="A15" t="inlineStr">
        <is>
          <t>Optimistic (10%)</t>
        </is>
      </c>
      <c r="B15" s="6">
        <f>'Revenue Model'!I18</f>
        <v/>
      </c>
      <c r="C15" s="5" t="n">
        <v>10</v>
      </c>
      <c r="D15" s="6">
        <f>B15*C15</f>
        <v/>
      </c>
      <c r="E15" t="inlineStr">
        <is>
          <t>Strong adoption, premium multiple</t>
        </is>
      </c>
    </row>
    <row r="16">
      <c r="A16" t="inlineStr">
        <is>
          <t>Aggressive (20%)</t>
        </is>
      </c>
      <c r="B16" s="6">
        <f>'Revenue Model'!I19</f>
        <v/>
      </c>
      <c r="C16" s="5" t="n">
        <v>12</v>
      </c>
      <c r="D16" s="6">
        <f>B16*C16</f>
        <v/>
      </c>
      <c r="E16" t="inlineStr">
        <is>
          <t>Market leader potential</t>
        </is>
      </c>
    </row>
    <row r="19">
      <c r="A19" s="2" t="inlineStr">
        <is>
          <t>Key Investment Thesis</t>
        </is>
      </c>
    </row>
    <row r="20">
      <c r="A20" t="inlineStr">
        <is>
          <t>1. Distribution through ImageTrend provides access to 13,000+ EMS agencies immediately</t>
        </is>
      </c>
    </row>
    <row r="21">
      <c r="A21" t="inlineStr">
        <is>
          <t>2. No customer acquisition cost - ImageTrend handles sales and marketing</t>
        </is>
      </c>
    </row>
    <row r="22">
      <c r="A22" t="inlineStr">
        <is>
          <t>3. 80% revenue share is strong for a distribution partnership</t>
        </is>
      </c>
    </row>
    <row r="23">
      <c r="A23" t="inlineStr">
        <is>
          <t>4. Recurring revenue model (SaaS) commands premium valuation multiples</t>
        </is>
      </c>
    </row>
    <row r="24">
      <c r="A24" t="inlineStr">
        <is>
          <t>5. Embedded in existing workflow = high retention potential</t>
        </is>
      </c>
    </row>
    <row r="25">
      <c r="A25" t="inlineStr">
        <is>
          <t>6. Path to $1M+ ARR within 2 years at 5% adoption</t>
        </is>
      </c>
    </row>
  </sheetData>
  <mergeCells count="7">
    <mergeCell ref="A21:E21"/>
    <mergeCell ref="A20:E20"/>
    <mergeCell ref="A24:E24"/>
    <mergeCell ref="A25:E25"/>
    <mergeCell ref="A1:E1"/>
    <mergeCell ref="A23:E23"/>
    <mergeCell ref="A22:E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</cols>
  <sheetData>
    <row r="1">
      <c r="A1" s="15" t="inlineStr">
        <is>
          <t>EXECUTIVE SUMMARY</t>
        </is>
      </c>
    </row>
    <row r="3">
      <c r="A3" s="2" t="inlineStr">
        <is>
          <t>ImageTrend Partnership Opportunity</t>
        </is>
      </c>
    </row>
    <row r="4">
      <c r="A4" s="16" t="inlineStr">
        <is>
          <t>ImageTrend 2024 Revenue</t>
        </is>
      </c>
      <c r="B4" t="inlineStr">
        <is>
          <t>$25.2M</t>
        </is>
      </c>
      <c r="C4" t="inlineStr">
        <is>
          <t>Verified - GetLatka</t>
        </is>
      </c>
    </row>
    <row r="5">
      <c r="A5" s="16" t="inlineStr">
        <is>
          <t>ImageTrend Growth Rate</t>
        </is>
      </c>
      <c r="B5" t="inlineStr">
        <is>
          <t>30%+</t>
        </is>
      </c>
      <c r="C5" t="inlineStr">
        <is>
          <t>2023-2024</t>
        </is>
      </c>
    </row>
    <row r="6">
      <c r="A6" s="16" t="inlineStr">
        <is>
          <t>ImageTrend Estimated Valuation</t>
        </is>
      </c>
      <c r="B6" t="inlineStr">
        <is>
          <t>$150-200M</t>
        </is>
      </c>
      <c r="C6" t="inlineStr">
        <is>
          <t>6-8x Revenue</t>
        </is>
      </c>
    </row>
    <row r="7">
      <c r="A7" s="16" t="inlineStr">
        <is>
          <t>ImageTrend EMS Customer Base</t>
        </is>
      </c>
      <c r="B7" t="inlineStr">
        <is>
          <t>13,000 agencies</t>
        </is>
      </c>
      <c r="C7" t="inlineStr">
        <is>
          <t>Your TAM</t>
        </is>
      </c>
    </row>
    <row r="8">
      <c r="A8" s="17" t="inlineStr"/>
      <c r="B8" t="inlineStr"/>
      <c r="C8" t="inlineStr"/>
    </row>
    <row r="9">
      <c r="A9" s="16" t="inlineStr">
        <is>
          <t>Protocol Guide Price</t>
        </is>
      </c>
      <c r="B9" t="inlineStr">
        <is>
          <t>$4.99/mo or $39/yr</t>
        </is>
      </c>
      <c r="C9" t="inlineStr">
        <is>
          <t>Per user</t>
        </is>
      </c>
    </row>
    <row r="10">
      <c r="A10" s="16" t="inlineStr">
        <is>
          <t>ImageTrend Take Rate</t>
        </is>
      </c>
      <c r="B10" t="inlineStr">
        <is>
          <t>20%</t>
        </is>
      </c>
      <c r="C10" t="inlineStr">
        <is>
          <t>Distribution fee</t>
        </is>
      </c>
    </row>
    <row r="11">
      <c r="A11" s="16" t="inlineStr">
        <is>
          <t>Your Revenue Share</t>
        </is>
      </c>
      <c r="B11" t="inlineStr">
        <is>
          <t>80%</t>
        </is>
      </c>
      <c r="C11" t="inlineStr">
        <is>
          <t>Net to you</t>
        </is>
      </c>
    </row>
    <row r="12">
      <c r="A12" s="17" t="inlineStr"/>
      <c r="B12" t="inlineStr"/>
      <c r="C12" t="inlineStr"/>
    </row>
    <row r="13">
      <c r="A13" s="16" t="inlineStr">
        <is>
          <t>Year 1 ARR (Conservative)</t>
        </is>
      </c>
      <c r="B13" s="6">
        <f>'Revenue Model'!I16</f>
        <v/>
      </c>
      <c r="C13" t="inlineStr">
        <is>
          <t>2% adoption</t>
        </is>
      </c>
    </row>
    <row r="14">
      <c r="A14" s="16" t="inlineStr">
        <is>
          <t>Year 1 ARR (Moderate)</t>
        </is>
      </c>
      <c r="B14" s="6">
        <f>'Revenue Model'!I17</f>
        <v/>
      </c>
      <c r="C14" t="inlineStr">
        <is>
          <t>5% adoption</t>
        </is>
      </c>
    </row>
    <row r="15">
      <c r="A15" s="16" t="inlineStr">
        <is>
          <t>Year 3 ARR (Projected)</t>
        </is>
      </c>
      <c r="B15" s="6">
        <f>'Revenue Model'!F29</f>
        <v/>
      </c>
      <c r="C15" t="inlineStr">
        <is>
          <t>10% adoption</t>
        </is>
      </c>
    </row>
    <row r="16">
      <c r="A16" s="16" t="inlineStr">
        <is>
          <t>Year 5 ARR (Projected)</t>
        </is>
      </c>
      <c r="B16" s="6">
        <f>'Revenue Model'!F29</f>
        <v/>
      </c>
      <c r="C16" t="inlineStr">
        <is>
          <t>20% adoption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2026-01-21T02:12:34Z</dcterms:created>
  <dcterms:modified xmlns:dcterms="http://purl.org/dc/terms/" xmlns:xsi="http://www.w3.org/2001/XMLSchema-instance" xsi:type="dcterms:W3CDTF">2026-01-21T02:12:34Z</dcterms:modified>
</cp:coreProperties>
</file>